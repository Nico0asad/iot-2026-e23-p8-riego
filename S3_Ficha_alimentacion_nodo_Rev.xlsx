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icol\Downloads\"/>
    </mc:Choice>
  </mc:AlternateContent>
  <xr:revisionPtr revIDLastSave="0" documentId="13_ncr:1_{7B302C07-8376-4373-BCCD-B3046E909021}" xr6:coauthVersionLast="47" xr6:coauthVersionMax="47" xr10:uidLastSave="{00000000-0000-0000-0000-000000000000}"/>
  <bookViews>
    <workbookView xWindow="-108" yWindow="-108" windowWidth="23256" windowHeight="13896" tabRatio="500" activeTab="1" xr2:uid="{00000000-000D-0000-FFFF-FFFF00000000}"/>
  </bookViews>
  <sheets>
    <sheet name="Instrucciones" sheetId="1" r:id="rId1"/>
    <sheet name="Ficha" sheetId="2" r:id="rId2"/>
    <sheet name="Referenc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5" i="2" l="1"/>
  <c r="G22" i="2"/>
  <c r="G21" i="2"/>
  <c r="B37" i="2"/>
  <c r="B35" i="2"/>
  <c r="B34" i="2"/>
  <c r="G30" i="2"/>
  <c r="G29" i="2"/>
  <c r="G28" i="2"/>
  <c r="G27" i="2"/>
  <c r="G26" i="2"/>
  <c r="G24" i="2"/>
  <c r="G23" i="2"/>
  <c r="G20" i="2"/>
  <c r="B33" i="2" l="1"/>
  <c r="B36" i="2" s="1"/>
  <c r="B38" i="2" s="1"/>
  <c r="B39" i="2" s="1"/>
</calcChain>
</file>

<file path=xl/sharedStrings.xml><?xml version="1.0" encoding="utf-8"?>
<sst xmlns="http://schemas.openxmlformats.org/spreadsheetml/2006/main" count="136" uniqueCount="129">
  <si>
    <t>FICHA DE ALIMENTACIÓN DEL NODO — GT1, ítem 7</t>
  </si>
  <si>
    <t>Fundamentos de IoT · 2º semestre 2026 · Universidad Autónoma de Chile</t>
  </si>
  <si>
    <t>QUÉ SE COMPLETA</t>
  </si>
  <si>
    <t>Solo las celdas con fondo azul de la hoja «Ficha». Todo lo demás son fórmulas: no se escribe encima.</t>
  </si>
  <si>
    <t>PASOS</t>
  </si>
  <si>
    <t>1. Completar la identificación del equipo y los parámetros del ciclo (período, rieles, batería).</t>
  </si>
  <si>
    <t>2. Listar TODOS los componentes del nodo, uno por fila, con su corriente activa, su corriente en reposo y</t>
  </si>
  <si>
    <t xml:space="preserve">   cuántos segundos permanece activo dentro de un período. La fila de ejemplo muestra el formato esperado:</t>
  </si>
  <si>
    <t xml:space="preserve">   bórrenla o sustitúyanla por sus propios componentes.</t>
  </si>
  <si>
    <t>3. Indicar de dónde salió cada cifra: hoja de datos del componente o medición propia. Un número sin fuente</t>
  </si>
  <si>
    <t xml:space="preserve">   no se acepta en el ítem 7.</t>
  </si>
  <si>
    <t>4. Registrar la corriente de pico de cada componente. La planilla identifica sola cuál domina.</t>
  </si>
  <si>
    <t>5. Declarar si el nodo va enchufado o a batería, y justificarlo en una línea.</t>
  </si>
  <si>
    <t>6. Guardar la planilla en la carpeta /docs del repositorio del equipo.</t>
  </si>
  <si>
    <t>CÓMO SE CALCULA</t>
  </si>
  <si>
    <t>Corriente media ponderada por el ciclo de trabajo:  I_media = Σ [ I_activa·t_activo + I_reposo·(T − t_activo) ] / T</t>
  </si>
  <si>
    <t>Corriente exigida a la batería con conversión reductora:  I_bat = I_media · (V_riel / V_bat) / η</t>
  </si>
  <si>
    <t>Autonomía:  t = (0,8 · C_nominal) / I_bat        (el factor 0,8 es la capacidad útil, no la nominal)</t>
  </si>
  <si>
    <t>ADVERTENCIAS QUE CUESTAN EL ÍTEM</t>
  </si>
  <si>
    <t>· La corriente de pico no es opcional: es la que reinicia el nodo cuando transmite. Sin ella, el ítem 7 no cumple.</t>
  </si>
  <si>
    <t>· El consumo en reposo de una PLACA DE DESARROLLO es de unidades de mA, no de microamperios. Usar la cifra del</t>
  </si>
  <si>
    <t xml:space="preserve">  módulo desnudo produce una autonomía entre diez y cien veces optimista.</t>
  </si>
  <si>
    <t>· Una celda 18650 que declara más de 3500 mAh no es creíble. Usar una capacidad defendible y anotar el supuesto.</t>
  </si>
  <si>
    <t>· Si el proyecto exige nodo publicando de forma permanente (Semana 10), la autonomía debe ser compatible con eso</t>
  </si>
  <si>
    <t xml:space="preserve">  o el nodo va enchufado. Decidirlo ahora es más barato que descubrirlo en la Semana 10.</t>
  </si>
  <si>
    <t>FICHA DE ALIMENTACIÓN DEL NODO</t>
  </si>
  <si>
    <t>Completar solo las celdas con fondo azul. GT1, ítem 7.</t>
  </si>
  <si>
    <t>Equipo (código E NN)</t>
  </si>
  <si>
    <t>Proyecto (código P NN)</t>
  </si>
  <si>
    <t>Sección de laboratorio</t>
  </si>
  <si>
    <t>Fecha</t>
  </si>
  <si>
    <t>PARÁMETROS DEL CICLO Y DE LA FUENTE</t>
  </si>
  <si>
    <t>Período del ciclo del nodo T [s]</t>
  </si>
  <si>
    <t>Tiempo entre dos mediciones completas.</t>
  </si>
  <si>
    <t>Tensión del riel principal V_riel [V]</t>
  </si>
  <si>
    <t>Riel que alimenta el nodo.</t>
  </si>
  <si>
    <t>Tensión nominal de la batería V_bat [V]</t>
  </si>
  <si>
    <t>2 celdas 18650 en serie = 7,4 V.</t>
  </si>
  <si>
    <t>Rendimiento del conversor η</t>
  </si>
  <si>
    <t>Conversor reductor. 0,85 es un valor conservador.</t>
  </si>
  <si>
    <t>Capacidad nominal de la batería C_nom [mAh]</t>
  </si>
  <si>
    <t>Capacidad defendible, no la de la etiqueta si es implausible.</t>
  </si>
  <si>
    <t>Factor de capacidad útil</t>
  </si>
  <si>
    <t>No se descarga una celda al 100 %.</t>
  </si>
  <si>
    <t>CONSUMO POR COMPONENTE</t>
  </si>
  <si>
    <t>Componente</t>
  </si>
  <si>
    <t>Riel [V]</t>
  </si>
  <si>
    <t>I activa [mA]</t>
  </si>
  <si>
    <t>I reposo [mA]</t>
  </si>
  <si>
    <t>t activo por ciclo [s]</t>
  </si>
  <si>
    <t>I de pico [mA]</t>
  </si>
  <si>
    <t>Aporte a I media [mA]</t>
  </si>
  <si>
    <t>Fuente del dato</t>
  </si>
  <si>
    <t>¿Riel propio?</t>
  </si>
  <si>
    <t>No</t>
  </si>
  <si>
    <t>RESULTADOS</t>
  </si>
  <si>
    <t>Corriente media del nodo I_media [mA]</t>
  </si>
  <si>
    <t>Corriente de pico máxima [mA]</t>
  </si>
  <si>
    <t>Componente que produce el pico</t>
  </si>
  <si>
    <t>Corriente exigida a la batería I_bat [mA]</t>
  </si>
  <si>
    <t>Capacidad útil [mAh]</t>
  </si>
  <si>
    <t>Autonomía estimada [h]</t>
  </si>
  <si>
    <t>Autonomía estimada [días]</t>
  </si>
  <si>
    <t>DECISIÓN DE ALIMENTACIÓN</t>
  </si>
  <si>
    <t>¿El nodo va enchufado o a batería?</t>
  </si>
  <si>
    <t>Justificación en una línea</t>
  </si>
  <si>
    <t>¿Hay actuadores con riel propio? ¿Cuáles?</t>
  </si>
  <si>
    <t>¿Usa deep sleep? ¿Es compatible con la publicación permanente (S10)?</t>
  </si>
  <si>
    <t>Supuestos declarados (capacidad de celda, consumo en reposo, etc.)</t>
  </si>
  <si>
    <t>Nota: las cifras de la fila de ejemplo son órdenes de magnitud para ilustrar el formato. Cada equipo debe sustituirlas por los valores de la hoja de datos de sus propios componentes o por mediciones propias, indicando la fuente.</t>
  </si>
  <si>
    <t>ÓRDENES DE MAGNITUD DE CONSUMO (referencia para dimensionar)</t>
  </si>
  <si>
    <t>Valores de orden de magnitud, no de diseño. El valor definitivo se toma de la hoja de datos del componente del kit y se registra con su fuente.</t>
  </si>
  <si>
    <t>Corriente típica</t>
  </si>
  <si>
    <t>Comentario</t>
  </si>
  <si>
    <t>ESP32 DevKit — CPU activa, radio apagada</t>
  </si>
  <si>
    <t>decenas de mA</t>
  </si>
  <si>
    <t>Estado habitual entre muestras.</t>
  </si>
  <si>
    <t>ESP32 — transmisión WiFi</t>
  </si>
  <si>
    <t>picos de cientos de mA</t>
  </si>
  <si>
    <t>Pico de milisegundos; es el que reinicia nodos mal alimentados.</t>
  </si>
  <si>
    <t>ESP32 DevKit — deep sleep</t>
  </si>
  <si>
    <t>unidades de mA</t>
  </si>
  <si>
    <t>El conversor USB-serie y el LED de la placa siguen consumiendo.</t>
  </si>
  <si>
    <t>Módulo ESP32 desnudo — deep sleep</t>
  </si>
  <si>
    <t>decenas de µA</t>
  </si>
  <si>
    <t>No usar esta cifra si el proyecto usa placa de desarrollo.</t>
  </si>
  <si>
    <t>Sensor digital de temperatura/humedad</t>
  </si>
  <si>
    <t>1–2 mA al medir</t>
  </si>
  <si>
    <t>Despreciable frente al resto.</t>
  </si>
  <si>
    <t>Sensor ultrasónico</t>
  </si>
  <si>
    <t>~15 mA</t>
  </si>
  <si>
    <t>Solo durante la medición.</t>
  </si>
  <si>
    <t>Pantalla OLED</t>
  </si>
  <si>
    <t>10–20 mA</t>
  </si>
  <si>
    <t>Continuo mientras esté encendida.</t>
  </si>
  <si>
    <t>Sensor de gas con calefactor (familia MQ)</t>
  </si>
  <si>
    <t>~150 mA continuos</t>
  </si>
  <si>
    <t>Domina el presupuesto; incompatible con batería pequeña.</t>
  </si>
  <si>
    <t>Módulo de relé (una bobina)</t>
  </si>
  <si>
    <t>~70 mA por canal</t>
  </si>
  <si>
    <t>Se multiplica por canal simultáneo.</t>
  </si>
  <si>
    <t>Servomotor pequeño</t>
  </si>
  <si>
    <t>decenas de mA en reposo; cientos en movimiento</t>
  </si>
  <si>
    <t>Pico de arranque muy superior al promedio. Riel propio.</t>
  </si>
  <si>
    <t>Electroválvula solenoide 12 V</t>
  </si>
  <si>
    <t>cientos de mA mientras está abierta</t>
  </si>
  <si>
    <t>Riel propio; no accionar varias en simultáneo.</t>
  </si>
  <si>
    <t>Módulo de cámara</t>
  </si>
  <si>
    <t>cientos de mA en transmisión</t>
  </si>
  <si>
    <t>Causa clásica de reinicio por caída de riel.</t>
  </si>
  <si>
    <t>Fuente: hojas de datos de los fabricantes de los componentes del kit y cápsula asincrónica «Alimentación del nodo» (Semana 3).</t>
  </si>
  <si>
    <t>E23</t>
  </si>
  <si>
    <t>P8</t>
  </si>
  <si>
    <t>ESP32 DevKit (WiFi + FSM)</t>
  </si>
  <si>
    <t>Sensor Humedad Capacitivo Z1</t>
  </si>
  <si>
    <t>Hoja de datos v1.2</t>
  </si>
  <si>
    <t>Sensor Humedad Capacitivo Z2</t>
  </si>
  <si>
    <t>Módulo Relé 4 Canales (Bobinas)</t>
  </si>
  <si>
    <t>Hoja de datos Opto-Relé</t>
  </si>
  <si>
    <t>Mini Bomba DC 3-6V Z1</t>
  </si>
  <si>
    <t>Hoja de datos Mini Bomba</t>
  </si>
  <si>
    <t>Si</t>
  </si>
  <si>
    <t>Mini Bomba DC 3-6V Z2</t>
  </si>
  <si>
    <t>Hoja de datos Espressif</t>
  </si>
  <si>
    <t>Enchufado (Fuente USB / Adaptador de red 5V)</t>
  </si>
  <si>
    <t>El consumo medido de 175 mA agota la bateria en 15 horas, lo que lleva que este se haga inviable la operación continua sin red.</t>
  </si>
  <si>
    <t>Si con 2 Mini Bombas DC de 5V, las cuales poseen riel propio de potencia que se alimenta desde las salidas del modulo relé.</t>
  </si>
  <si>
    <t>No usa deep sleep ya que requiere mantener la FSM y WiFi activos en todo momento para que se pueda monitorear las zonas y asi poder responder en tiempo real, lo que es compatible con S10</t>
  </si>
  <si>
    <t>Bateria Li-Ion 2S (7.4V, 2600 mAh nominal, 80% Cap.util = 2080 mAh), eficiencia del regulador Buck al 85%, periodo de ciclo T = 60s y consumo en reposo del ESP32 de 20 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</si>
</sst>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C80000"/>
      <name val="Arial"/>
      <charset val="1"/>
    </font>
    <font>
      <i/>
      <sz val="9"/>
      <name val="Arial"/>
      <charset val="1"/>
    </font>
    <font>
      <sz val="10"/>
      <name val="Arial"/>
      <charset val="1"/>
    </font>
    <font>
      <b/>
      <sz val="10"/>
      <name val="Arial"/>
      <charset val="1"/>
    </font>
    <font>
      <b/>
      <sz val="10"/>
      <color rgb="FFFFFFFF"/>
      <name val="Arial"/>
      <charset val="1"/>
    </font>
    <font>
      <sz val="10"/>
      <name val="Arial"/>
      <family val="2"/>
    </font>
    <font>
      <sz val="8"/>
      <name val="Calibri"/>
      <family val="2"/>
      <charset val="1"/>
    </font>
  </fonts>
  <fills count="5">
    <fill>
      <patternFill patternType="none"/>
    </fill>
    <fill>
      <patternFill patternType="gray125"/>
    </fill>
    <fill>
      <patternFill patternType="solid">
        <fgColor rgb="FFEFEFEF"/>
        <bgColor rgb="FFDDEBF7"/>
      </patternFill>
    </fill>
    <fill>
      <patternFill patternType="solid">
        <fgColor rgb="FFDDEBF7"/>
        <bgColor rgb="FFEFEFEF"/>
      </patternFill>
    </fill>
    <fill>
      <patternFill patternType="solid">
        <fgColor rgb="FFC80000"/>
        <bgColor rgb="FF8000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1">
    <xf numFmtId="0" fontId="0" fillId="0" borderId="0" xfId="0"/>
    <xf numFmtId="0" fontId="2" fillId="0" borderId="0" xfId="0" applyFont="1"/>
    <xf numFmtId="0" fontId="1" fillId="0" borderId="0" xfId="0" applyFont="1"/>
    <xf numFmtId="0" fontId="3" fillId="0" borderId="0" xfId="0" applyFont="1"/>
    <xf numFmtId="0" fontId="4" fillId="2" borderId="0" xfId="0" applyFont="1" applyFill="1"/>
    <xf numFmtId="0" fontId="4" fillId="0" borderId="0" xfId="0" applyFont="1"/>
    <xf numFmtId="0" fontId="3" fillId="3" borderId="1" xfId="0" applyFont="1" applyFill="1" applyBorder="1" applyAlignment="1">
      <alignment horizontal="center" vertical="center"/>
    </xf>
    <xf numFmtId="0" fontId="5" fillId="4" borderId="1" xfId="0" applyFont="1" applyFill="1" applyBorder="1" applyAlignment="1">
      <alignment vertical="center" wrapText="1"/>
    </xf>
    <xf numFmtId="2" fontId="3" fillId="0" borderId="1" xfId="0" applyNumberFormat="1" applyFont="1" applyBorder="1"/>
    <xf numFmtId="0" fontId="3" fillId="3" borderId="1" xfId="0" applyFont="1" applyFill="1" applyBorder="1"/>
    <xf numFmtId="2"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4" borderId="1" xfId="0" applyFont="1" applyFill="1" applyBorder="1"/>
    <xf numFmtId="0" fontId="3" fillId="0" borderId="1" xfId="0" applyFont="1" applyBorder="1" applyAlignment="1">
      <alignment vertical="center" wrapText="1"/>
    </xf>
    <xf numFmtId="0" fontId="0" fillId="3" borderId="1" xfId="0" applyFill="1" applyBorder="1"/>
    <xf numFmtId="0" fontId="2" fillId="0" borderId="0" xfId="0" applyFont="1"/>
    <xf numFmtId="0" fontId="0" fillId="3" borderId="1" xfId="0" applyFill="1" applyBorder="1" applyAlignment="1">
      <alignment horizontal="left"/>
    </xf>
    <xf numFmtId="0" fontId="6" fillId="3" borderId="1" xfId="0" applyFont="1" applyFill="1" applyBorder="1"/>
    <xf numFmtId="14" fontId="0" fillId="3" borderId="1" xfId="0" applyNumberFormat="1" applyFill="1" applyBorder="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C8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9"/>
  <sheetViews>
    <sheetView zoomScaleNormal="100" workbookViewId="0">
      <selection activeCell="E10" sqref="E10"/>
    </sheetView>
  </sheetViews>
  <sheetFormatPr baseColWidth="10" defaultColWidth="8.6640625" defaultRowHeight="14.4" x14ac:dyDescent="0.3"/>
  <cols>
    <col min="1" max="1" width="3" customWidth="1"/>
    <col min="2" max="2" width="110" customWidth="1"/>
  </cols>
  <sheetData>
    <row r="1" spans="2:2" ht="17.399999999999999" x14ac:dyDescent="0.3">
      <c r="B1" s="2" t="s">
        <v>0</v>
      </c>
    </row>
    <row r="2" spans="2:2" x14ac:dyDescent="0.3">
      <c r="B2" s="1" t="s">
        <v>1</v>
      </c>
    </row>
    <row r="3" spans="2:2" x14ac:dyDescent="0.3">
      <c r="B3" s="3"/>
    </row>
    <row r="4" spans="2:2" x14ac:dyDescent="0.3">
      <c r="B4" s="4" t="s">
        <v>2</v>
      </c>
    </row>
    <row r="5" spans="2:2" x14ac:dyDescent="0.3">
      <c r="B5" s="3" t="s">
        <v>3</v>
      </c>
    </row>
    <row r="6" spans="2:2" x14ac:dyDescent="0.3">
      <c r="B6" s="3"/>
    </row>
    <row r="7" spans="2:2" x14ac:dyDescent="0.3">
      <c r="B7" s="4" t="s">
        <v>4</v>
      </c>
    </row>
    <row r="8" spans="2:2" x14ac:dyDescent="0.3">
      <c r="B8" s="3" t="s">
        <v>5</v>
      </c>
    </row>
    <row r="9" spans="2:2" x14ac:dyDescent="0.3">
      <c r="B9" s="3" t="s">
        <v>6</v>
      </c>
    </row>
    <row r="10" spans="2:2" x14ac:dyDescent="0.3">
      <c r="B10" s="3" t="s">
        <v>7</v>
      </c>
    </row>
    <row r="11" spans="2:2" x14ac:dyDescent="0.3">
      <c r="B11" s="3" t="s">
        <v>8</v>
      </c>
    </row>
    <row r="12" spans="2:2" x14ac:dyDescent="0.3">
      <c r="B12" s="3" t="s">
        <v>9</v>
      </c>
    </row>
    <row r="13" spans="2:2" x14ac:dyDescent="0.3">
      <c r="B13" s="3" t="s">
        <v>10</v>
      </c>
    </row>
    <row r="14" spans="2:2" x14ac:dyDescent="0.3">
      <c r="B14" s="3" t="s">
        <v>11</v>
      </c>
    </row>
    <row r="15" spans="2:2" x14ac:dyDescent="0.3">
      <c r="B15" s="3" t="s">
        <v>12</v>
      </c>
    </row>
    <row r="16" spans="2:2" x14ac:dyDescent="0.3">
      <c r="B16" s="3" t="s">
        <v>13</v>
      </c>
    </row>
    <row r="17" spans="2:2" x14ac:dyDescent="0.3">
      <c r="B17" s="3"/>
    </row>
    <row r="18" spans="2:2" x14ac:dyDescent="0.3">
      <c r="B18" s="4" t="s">
        <v>14</v>
      </c>
    </row>
    <row r="19" spans="2:2" x14ac:dyDescent="0.3">
      <c r="B19" s="3" t="s">
        <v>15</v>
      </c>
    </row>
    <row r="20" spans="2:2" x14ac:dyDescent="0.3">
      <c r="B20" s="3" t="s">
        <v>16</v>
      </c>
    </row>
    <row r="21" spans="2:2" x14ac:dyDescent="0.3">
      <c r="B21" s="3" t="s">
        <v>17</v>
      </c>
    </row>
    <row r="22" spans="2:2" x14ac:dyDescent="0.3">
      <c r="B22" s="3"/>
    </row>
    <row r="23" spans="2:2" x14ac:dyDescent="0.3">
      <c r="B23" s="4" t="s">
        <v>18</v>
      </c>
    </row>
    <row r="24" spans="2:2" x14ac:dyDescent="0.3">
      <c r="B24" s="3" t="s">
        <v>19</v>
      </c>
    </row>
    <row r="25" spans="2:2" x14ac:dyDescent="0.3">
      <c r="B25" s="3" t="s">
        <v>20</v>
      </c>
    </row>
    <row r="26" spans="2:2" x14ac:dyDescent="0.3">
      <c r="B26" s="3" t="s">
        <v>21</v>
      </c>
    </row>
    <row r="27" spans="2:2" x14ac:dyDescent="0.3">
      <c r="B27" s="3" t="s">
        <v>22</v>
      </c>
    </row>
    <row r="28" spans="2:2" x14ac:dyDescent="0.3">
      <c r="B28" s="3" t="s">
        <v>23</v>
      </c>
    </row>
    <row r="29" spans="2:2" x14ac:dyDescent="0.3">
      <c r="B29" s="3"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tabSelected="1" topLeftCell="A16" zoomScale="85" zoomScaleNormal="85" workbookViewId="0">
      <selection activeCell="B49" sqref="B49"/>
    </sheetView>
  </sheetViews>
  <sheetFormatPr baseColWidth="10" defaultColWidth="8.6640625" defaultRowHeight="14.4" x14ac:dyDescent="0.3"/>
  <cols>
    <col min="1" max="1" width="61.33203125" customWidth="1"/>
    <col min="2" max="2" width="10" customWidth="1"/>
    <col min="3" max="7" width="13" customWidth="1"/>
    <col min="8" max="8" width="22" customWidth="1"/>
    <col min="9" max="9" width="16" customWidth="1"/>
  </cols>
  <sheetData>
    <row r="1" spans="1:6" ht="17.399999999999999" x14ac:dyDescent="0.3">
      <c r="A1" s="2" t="s">
        <v>25</v>
      </c>
    </row>
    <row r="2" spans="1:6" x14ac:dyDescent="0.3">
      <c r="A2" s="1" t="s">
        <v>26</v>
      </c>
    </row>
    <row r="4" spans="1:6" x14ac:dyDescent="0.3">
      <c r="A4" s="5" t="s">
        <v>27</v>
      </c>
      <c r="B4" s="16" t="s">
        <v>111</v>
      </c>
      <c r="C4" s="16"/>
      <c r="D4" s="16"/>
    </row>
    <row r="5" spans="1:6" x14ac:dyDescent="0.3">
      <c r="A5" s="5" t="s">
        <v>28</v>
      </c>
      <c r="B5" s="16" t="s">
        <v>112</v>
      </c>
      <c r="C5" s="16"/>
      <c r="D5" s="16"/>
    </row>
    <row r="6" spans="1:6" x14ac:dyDescent="0.3">
      <c r="A6" s="5" t="s">
        <v>29</v>
      </c>
      <c r="B6" s="18">
        <v>12256</v>
      </c>
      <c r="C6" s="18"/>
      <c r="D6" s="18"/>
    </row>
    <row r="7" spans="1:6" x14ac:dyDescent="0.3">
      <c r="A7" s="5" t="s">
        <v>30</v>
      </c>
      <c r="B7" s="20">
        <v>46252</v>
      </c>
      <c r="C7" s="18"/>
      <c r="D7" s="18"/>
    </row>
    <row r="9" spans="1:6" x14ac:dyDescent="0.3">
      <c r="A9" s="4" t="s">
        <v>31</v>
      </c>
    </row>
    <row r="10" spans="1:6" x14ac:dyDescent="0.3">
      <c r="A10" s="3" t="s">
        <v>32</v>
      </c>
      <c r="B10" s="6">
        <v>60</v>
      </c>
      <c r="C10" s="17" t="s">
        <v>33</v>
      </c>
      <c r="D10" s="17"/>
      <c r="E10" s="17"/>
      <c r="F10" s="17"/>
    </row>
    <row r="11" spans="1:6" x14ac:dyDescent="0.3">
      <c r="A11" s="3" t="s">
        <v>34</v>
      </c>
      <c r="B11" s="6">
        <v>5</v>
      </c>
      <c r="C11" s="17" t="s">
        <v>35</v>
      </c>
      <c r="D11" s="17"/>
      <c r="E11" s="17"/>
      <c r="F11" s="17"/>
    </row>
    <row r="12" spans="1:6" x14ac:dyDescent="0.3">
      <c r="A12" s="3" t="s">
        <v>36</v>
      </c>
      <c r="B12" s="6">
        <v>7.4</v>
      </c>
      <c r="C12" s="17" t="s">
        <v>37</v>
      </c>
      <c r="D12" s="17"/>
      <c r="E12" s="17"/>
      <c r="F12" s="17"/>
    </row>
    <row r="13" spans="1:6" x14ac:dyDescent="0.3">
      <c r="A13" s="3" t="s">
        <v>38</v>
      </c>
      <c r="B13" s="6">
        <v>0.85</v>
      </c>
      <c r="C13" s="17" t="s">
        <v>39</v>
      </c>
      <c r="D13" s="17"/>
      <c r="E13" s="17"/>
      <c r="F13" s="17"/>
    </row>
    <row r="14" spans="1:6" x14ac:dyDescent="0.3">
      <c r="A14" s="3" t="s">
        <v>40</v>
      </c>
      <c r="B14" s="6">
        <v>2600</v>
      </c>
      <c r="C14" s="17" t="s">
        <v>41</v>
      </c>
      <c r="D14" s="17"/>
      <c r="E14" s="17"/>
      <c r="F14" s="17"/>
    </row>
    <row r="15" spans="1:6" x14ac:dyDescent="0.3">
      <c r="A15" s="3" t="s">
        <v>42</v>
      </c>
      <c r="B15" s="6">
        <v>0.8</v>
      </c>
      <c r="C15" s="17" t="s">
        <v>43</v>
      </c>
      <c r="D15" s="17"/>
      <c r="E15" s="17"/>
      <c r="F15" s="17"/>
    </row>
    <row r="17" spans="1:9" x14ac:dyDescent="0.3">
      <c r="A17" s="4" t="s">
        <v>44</v>
      </c>
    </row>
    <row r="18" spans="1:9" ht="31.5" customHeight="1" x14ac:dyDescent="0.3">
      <c r="A18" s="7" t="s">
        <v>45</v>
      </c>
      <c r="B18" s="7" t="s">
        <v>46</v>
      </c>
      <c r="C18" s="7" t="s">
        <v>47</v>
      </c>
      <c r="D18" s="7" t="s">
        <v>48</v>
      </c>
      <c r="E18" s="7" t="s">
        <v>49</v>
      </c>
      <c r="F18" s="7" t="s">
        <v>50</v>
      </c>
      <c r="G18" s="7" t="s">
        <v>51</v>
      </c>
      <c r="H18" s="7" t="s">
        <v>52</v>
      </c>
      <c r="I18" s="7" t="s">
        <v>53</v>
      </c>
    </row>
    <row r="20" spans="1:9" x14ac:dyDescent="0.3">
      <c r="A20" s="19" t="s">
        <v>113</v>
      </c>
      <c r="B20" s="19">
        <v>5</v>
      </c>
      <c r="C20" s="9">
        <v>160</v>
      </c>
      <c r="D20" s="9">
        <v>20</v>
      </c>
      <c r="E20" s="9">
        <v>30</v>
      </c>
      <c r="F20" s="9">
        <v>500</v>
      </c>
      <c r="G20" s="8">
        <f t="shared" ref="G20:G30" si="0">IF(A20="","",(C20*E20+D20*(MAX(0,$B$10-E20)))/$B$10)</f>
        <v>90</v>
      </c>
      <c r="H20" s="19" t="s">
        <v>123</v>
      </c>
      <c r="I20" s="19" t="s">
        <v>54</v>
      </c>
    </row>
    <row r="21" spans="1:9" x14ac:dyDescent="0.3">
      <c r="A21" s="19" t="s">
        <v>114</v>
      </c>
      <c r="B21" s="9">
        <v>3.3</v>
      </c>
      <c r="C21" s="9">
        <v>5</v>
      </c>
      <c r="D21" s="9">
        <v>5</v>
      </c>
      <c r="E21" s="9">
        <v>30</v>
      </c>
      <c r="F21" s="9">
        <v>10</v>
      </c>
      <c r="G21" s="8">
        <f t="shared" si="0"/>
        <v>5</v>
      </c>
      <c r="H21" s="19" t="s">
        <v>115</v>
      </c>
      <c r="I21" s="19" t="s">
        <v>54</v>
      </c>
    </row>
    <row r="22" spans="1:9" x14ac:dyDescent="0.3">
      <c r="A22" s="19" t="s">
        <v>116</v>
      </c>
      <c r="B22" s="9">
        <v>3.3</v>
      </c>
      <c r="C22" s="9">
        <v>5</v>
      </c>
      <c r="D22" s="9">
        <v>5</v>
      </c>
      <c r="E22" s="9">
        <v>30</v>
      </c>
      <c r="F22" s="9">
        <v>10</v>
      </c>
      <c r="G22" s="8">
        <f t="shared" ref="G22" si="1">IF(A22="","",(C22*E22+D22*(MAX(0,$B$10-E22)))/$B$10)</f>
        <v>5</v>
      </c>
      <c r="H22" s="19" t="s">
        <v>115</v>
      </c>
      <c r="I22" s="19" t="s">
        <v>54</v>
      </c>
    </row>
    <row r="23" spans="1:9" x14ac:dyDescent="0.3">
      <c r="A23" s="19" t="s">
        <v>117</v>
      </c>
      <c r="B23" s="9">
        <v>5</v>
      </c>
      <c r="C23" s="9">
        <v>70</v>
      </c>
      <c r="D23" s="9">
        <v>4</v>
      </c>
      <c r="E23" s="9">
        <v>10</v>
      </c>
      <c r="F23" s="9">
        <v>140</v>
      </c>
      <c r="G23" s="8">
        <f t="shared" si="0"/>
        <v>15</v>
      </c>
      <c r="H23" s="19" t="s">
        <v>118</v>
      </c>
      <c r="I23" s="19" t="s">
        <v>54</v>
      </c>
    </row>
    <row r="24" spans="1:9" x14ac:dyDescent="0.3">
      <c r="A24" s="19" t="s">
        <v>119</v>
      </c>
      <c r="B24" s="9">
        <v>5</v>
      </c>
      <c r="C24" s="9">
        <v>180</v>
      </c>
      <c r="D24" s="9">
        <v>0</v>
      </c>
      <c r="E24" s="9">
        <v>10</v>
      </c>
      <c r="F24" s="9">
        <v>300</v>
      </c>
      <c r="G24" s="8">
        <f t="shared" si="0"/>
        <v>30</v>
      </c>
      <c r="H24" s="19" t="s">
        <v>120</v>
      </c>
      <c r="I24" s="19" t="s">
        <v>121</v>
      </c>
    </row>
    <row r="25" spans="1:9" x14ac:dyDescent="0.3">
      <c r="A25" s="19" t="s">
        <v>122</v>
      </c>
      <c r="B25" s="9">
        <v>5</v>
      </c>
      <c r="C25" s="9">
        <v>180</v>
      </c>
      <c r="D25" s="9">
        <v>0</v>
      </c>
      <c r="E25" s="9">
        <v>10</v>
      </c>
      <c r="F25" s="9">
        <v>300</v>
      </c>
      <c r="G25" s="8">
        <f t="shared" ref="G25" si="2">IF(A25="","",(C25*E25+D25*(MAX(0,$B$10-E25)))/$B$10)</f>
        <v>30</v>
      </c>
      <c r="H25" s="19" t="s">
        <v>120</v>
      </c>
      <c r="I25" s="19" t="s">
        <v>121</v>
      </c>
    </row>
    <row r="26" spans="1:9" x14ac:dyDescent="0.3">
      <c r="A26" s="9"/>
      <c r="B26" s="9"/>
      <c r="C26" s="9"/>
      <c r="D26" s="9"/>
      <c r="E26" s="9"/>
      <c r="F26" s="9"/>
      <c r="G26" s="8" t="str">
        <f t="shared" si="0"/>
        <v/>
      </c>
      <c r="H26" s="9"/>
      <c r="I26" s="9"/>
    </row>
    <row r="27" spans="1:9" x14ac:dyDescent="0.3">
      <c r="A27" s="9"/>
      <c r="B27" s="9"/>
      <c r="C27" s="9"/>
      <c r="D27" s="9"/>
      <c r="E27" s="9"/>
      <c r="F27" s="9"/>
      <c r="G27" s="8" t="str">
        <f t="shared" si="0"/>
        <v/>
      </c>
      <c r="H27" s="9"/>
      <c r="I27" s="9"/>
    </row>
    <row r="28" spans="1:9" x14ac:dyDescent="0.3">
      <c r="A28" s="9"/>
      <c r="B28" s="9"/>
      <c r="C28" s="9"/>
      <c r="D28" s="9"/>
      <c r="E28" s="9"/>
      <c r="F28" s="9"/>
      <c r="G28" s="8" t="str">
        <f t="shared" si="0"/>
        <v/>
      </c>
      <c r="H28" s="9"/>
      <c r="I28" s="9"/>
    </row>
    <row r="29" spans="1:9" x14ac:dyDescent="0.3">
      <c r="A29" s="9"/>
      <c r="B29" s="9"/>
      <c r="C29" s="9"/>
      <c r="D29" s="9"/>
      <c r="E29" s="9"/>
      <c r="F29" s="9"/>
      <c r="G29" s="8" t="str">
        <f t="shared" si="0"/>
        <v/>
      </c>
      <c r="H29" s="9"/>
      <c r="I29" s="9"/>
    </row>
    <row r="30" spans="1:9" x14ac:dyDescent="0.3">
      <c r="A30" s="9"/>
      <c r="B30" s="9"/>
      <c r="C30" s="9"/>
      <c r="D30" s="9"/>
      <c r="E30" s="9"/>
      <c r="F30" s="9"/>
      <c r="G30" s="8" t="str">
        <f t="shared" si="0"/>
        <v/>
      </c>
      <c r="H30" s="9"/>
      <c r="I30" s="9"/>
    </row>
    <row r="32" spans="1:9" x14ac:dyDescent="0.3">
      <c r="A32" s="4" t="s">
        <v>55</v>
      </c>
    </row>
    <row r="33" spans="1:9" x14ac:dyDescent="0.3">
      <c r="A33" s="5" t="s">
        <v>56</v>
      </c>
      <c r="B33" s="10">
        <f>SUM(G20:G30)</f>
        <v>175</v>
      </c>
    </row>
    <row r="34" spans="1:9" x14ac:dyDescent="0.3">
      <c r="A34" s="5" t="s">
        <v>57</v>
      </c>
      <c r="B34" s="11">
        <f>MAX(F20:F30)</f>
        <v>500</v>
      </c>
    </row>
    <row r="35" spans="1:9" x14ac:dyDescent="0.3">
      <c r="A35" s="5" t="s">
        <v>58</v>
      </c>
      <c r="B35" s="12" t="str">
        <f>IF(MAX(F20:F30)=0,"—",INDEX(A20:A30,MATCH(MAX(F20:F30),F20:F30,0)))</f>
        <v>ESP32 DevKit (WiFi + FSM)</v>
      </c>
    </row>
    <row r="36" spans="1:9" x14ac:dyDescent="0.3">
      <c r="A36" s="5" t="s">
        <v>59</v>
      </c>
      <c r="B36" s="10">
        <f>IF(B33=0,0,B33*($B$11/$B$12)/$B$13)</f>
        <v>139.10969793322735</v>
      </c>
    </row>
    <row r="37" spans="1:9" x14ac:dyDescent="0.3">
      <c r="A37" s="5" t="s">
        <v>60</v>
      </c>
      <c r="B37" s="11">
        <f>$B$14*$B$15</f>
        <v>2080</v>
      </c>
    </row>
    <row r="38" spans="1:9" x14ac:dyDescent="0.3">
      <c r="A38" s="5" t="s">
        <v>61</v>
      </c>
      <c r="B38" s="13">
        <f>IF(B36=0,0,B37/B36)</f>
        <v>14.95222857142857</v>
      </c>
    </row>
    <row r="39" spans="1:9" x14ac:dyDescent="0.3">
      <c r="A39" s="5" t="s">
        <v>62</v>
      </c>
      <c r="B39" s="13">
        <f>B38/24</f>
        <v>0.62300952380952379</v>
      </c>
    </row>
    <row r="41" spans="1:9" x14ac:dyDescent="0.3">
      <c r="A41" s="4" t="s">
        <v>63</v>
      </c>
    </row>
    <row r="42" spans="1:9" x14ac:dyDescent="0.3">
      <c r="A42" s="3" t="s">
        <v>64</v>
      </c>
      <c r="B42" s="16" t="s">
        <v>124</v>
      </c>
      <c r="C42" s="16"/>
      <c r="D42" s="16"/>
      <c r="E42" s="16"/>
      <c r="F42" s="16"/>
      <c r="G42" s="16"/>
      <c r="H42" s="16"/>
      <c r="I42" s="16"/>
    </row>
    <row r="43" spans="1:9" x14ac:dyDescent="0.3">
      <c r="A43" s="3" t="s">
        <v>65</v>
      </c>
      <c r="B43" s="16" t="s">
        <v>125</v>
      </c>
      <c r="C43" s="16"/>
      <c r="D43" s="16"/>
      <c r="E43" s="16"/>
      <c r="F43" s="16"/>
      <c r="G43" s="16"/>
      <c r="H43" s="16"/>
      <c r="I43" s="16"/>
    </row>
    <row r="44" spans="1:9" x14ac:dyDescent="0.3">
      <c r="A44" s="3" t="s">
        <v>66</v>
      </c>
      <c r="B44" s="16" t="s">
        <v>126</v>
      </c>
      <c r="C44" s="16"/>
      <c r="D44" s="16"/>
      <c r="E44" s="16"/>
      <c r="F44" s="16"/>
      <c r="G44" s="16"/>
      <c r="H44" s="16"/>
      <c r="I44" s="16"/>
    </row>
    <row r="45" spans="1:9" x14ac:dyDescent="0.3">
      <c r="A45" s="3" t="s">
        <v>67</v>
      </c>
      <c r="B45" s="16" t="s">
        <v>127</v>
      </c>
      <c r="C45" s="16"/>
      <c r="D45" s="16"/>
      <c r="E45" s="16"/>
      <c r="F45" s="16"/>
      <c r="G45" s="16"/>
      <c r="H45" s="16"/>
      <c r="I45" s="16"/>
    </row>
    <row r="46" spans="1:9" x14ac:dyDescent="0.3">
      <c r="A46" s="3" t="s">
        <v>68</v>
      </c>
      <c r="B46" s="16" t="s">
        <v>128</v>
      </c>
      <c r="C46" s="16"/>
      <c r="D46" s="16"/>
      <c r="E46" s="16"/>
      <c r="F46" s="16"/>
      <c r="G46" s="16"/>
      <c r="H46" s="16"/>
      <c r="I46" s="16"/>
    </row>
    <row r="48" spans="1:9" x14ac:dyDescent="0.3">
      <c r="A48" s="17" t="s">
        <v>69</v>
      </c>
      <c r="B48" s="17"/>
      <c r="C48" s="17"/>
      <c r="D48" s="17"/>
      <c r="E48" s="17"/>
      <c r="F48" s="17"/>
      <c r="G48" s="17"/>
      <c r="H48" s="17"/>
      <c r="I48" s="17"/>
    </row>
  </sheetData>
  <mergeCells count="16">
    <mergeCell ref="A48:I48"/>
    <mergeCell ref="B42:I42"/>
    <mergeCell ref="B43:I43"/>
    <mergeCell ref="B44:I44"/>
    <mergeCell ref="B45:I45"/>
    <mergeCell ref="B46:I46"/>
    <mergeCell ref="C11:F11"/>
    <mergeCell ref="C12:F12"/>
    <mergeCell ref="C13:F13"/>
    <mergeCell ref="C14:F14"/>
    <mergeCell ref="C15:F15"/>
    <mergeCell ref="B4:D4"/>
    <mergeCell ref="B5:D5"/>
    <mergeCell ref="B6:D6"/>
    <mergeCell ref="B7:D7"/>
    <mergeCell ref="C10:F10"/>
  </mergeCells>
  <phoneticPr fontId="7"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zoomScaleNormal="100" workbookViewId="0"/>
  </sheetViews>
  <sheetFormatPr baseColWidth="10" defaultColWidth="8.6640625" defaultRowHeight="14.4" x14ac:dyDescent="0.3"/>
  <cols>
    <col min="1" max="1" width="38" customWidth="1"/>
    <col min="2" max="2" width="22" customWidth="1"/>
    <col min="3" max="3" width="62" customWidth="1"/>
  </cols>
  <sheetData>
    <row r="1" spans="1:3" ht="17.399999999999999" x14ac:dyDescent="0.3">
      <c r="A1" s="2" t="s">
        <v>70</v>
      </c>
    </row>
    <row r="2" spans="1:3" x14ac:dyDescent="0.3">
      <c r="A2" s="1" t="s">
        <v>71</v>
      </c>
    </row>
    <row r="4" spans="1:3" x14ac:dyDescent="0.3">
      <c r="A4" s="14" t="s">
        <v>45</v>
      </c>
      <c r="B4" s="14" t="s">
        <v>72</v>
      </c>
      <c r="C4" s="14" t="s">
        <v>73</v>
      </c>
    </row>
    <row r="5" spans="1:3" x14ac:dyDescent="0.3">
      <c r="A5" s="15" t="s">
        <v>74</v>
      </c>
      <c r="B5" s="15" t="s">
        <v>75</v>
      </c>
      <c r="C5" s="15" t="s">
        <v>76</v>
      </c>
    </row>
    <row r="6" spans="1:3" x14ac:dyDescent="0.3">
      <c r="A6" s="15" t="s">
        <v>77</v>
      </c>
      <c r="B6" s="15" t="s">
        <v>78</v>
      </c>
      <c r="C6" s="15" t="s">
        <v>79</v>
      </c>
    </row>
    <row r="7" spans="1:3" x14ac:dyDescent="0.3">
      <c r="A7" s="15" t="s">
        <v>80</v>
      </c>
      <c r="B7" s="15" t="s">
        <v>81</v>
      </c>
      <c r="C7" s="15" t="s">
        <v>82</v>
      </c>
    </row>
    <row r="8" spans="1:3" x14ac:dyDescent="0.3">
      <c r="A8" s="15" t="s">
        <v>83</v>
      </c>
      <c r="B8" s="15" t="s">
        <v>84</v>
      </c>
      <c r="C8" s="15" t="s">
        <v>85</v>
      </c>
    </row>
    <row r="9" spans="1:3" x14ac:dyDescent="0.3">
      <c r="A9" s="15" t="s">
        <v>86</v>
      </c>
      <c r="B9" s="15" t="s">
        <v>87</v>
      </c>
      <c r="C9" s="15" t="s">
        <v>88</v>
      </c>
    </row>
    <row r="10" spans="1:3" x14ac:dyDescent="0.3">
      <c r="A10" s="15" t="s">
        <v>89</v>
      </c>
      <c r="B10" s="15" t="s">
        <v>90</v>
      </c>
      <c r="C10" s="15" t="s">
        <v>91</v>
      </c>
    </row>
    <row r="11" spans="1:3" x14ac:dyDescent="0.3">
      <c r="A11" s="15" t="s">
        <v>92</v>
      </c>
      <c r="B11" s="15" t="s">
        <v>93</v>
      </c>
      <c r="C11" s="15" t="s">
        <v>94</v>
      </c>
    </row>
    <row r="12" spans="1:3" x14ac:dyDescent="0.3">
      <c r="A12" s="15" t="s">
        <v>95</v>
      </c>
      <c r="B12" s="15" t="s">
        <v>96</v>
      </c>
      <c r="C12" s="15" t="s">
        <v>97</v>
      </c>
    </row>
    <row r="13" spans="1:3" x14ac:dyDescent="0.3">
      <c r="A13" s="15" t="s">
        <v>98</v>
      </c>
      <c r="B13" s="15" t="s">
        <v>99</v>
      </c>
      <c r="C13" s="15" t="s">
        <v>100</v>
      </c>
    </row>
    <row r="14" spans="1:3" ht="39.6" x14ac:dyDescent="0.3">
      <c r="A14" s="15" t="s">
        <v>101</v>
      </c>
      <c r="B14" s="15" t="s">
        <v>102</v>
      </c>
      <c r="C14" s="15" t="s">
        <v>103</v>
      </c>
    </row>
    <row r="15" spans="1:3" ht="26.4" x14ac:dyDescent="0.3">
      <c r="A15" s="15" t="s">
        <v>104</v>
      </c>
      <c r="B15" s="15" t="s">
        <v>105</v>
      </c>
      <c r="C15" s="15" t="s">
        <v>106</v>
      </c>
    </row>
    <row r="16" spans="1:3" ht="26.4" x14ac:dyDescent="0.3">
      <c r="A16" s="15" t="s">
        <v>107</v>
      </c>
      <c r="B16" s="15" t="s">
        <v>108</v>
      </c>
      <c r="C16" s="15" t="s">
        <v>109</v>
      </c>
    </row>
    <row r="18" spans="1:1" x14ac:dyDescent="0.3">
      <c r="A18" s="1" t="s">
        <v>110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Ficha</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Reinier Rodriguez Guillen</dc:creator>
  <dc:description/>
  <cp:lastModifiedBy>Nicolás Marcelo Camaño Sepúlveda</cp:lastModifiedBy>
  <cp:revision>0</cp:revision>
  <dcterms:created xsi:type="dcterms:W3CDTF">2026-08-06T16:09:48Z</dcterms:created>
  <dcterms:modified xsi:type="dcterms:W3CDTF">2026-08-18T20:39:49Z</dcterms:modified>
  <dc:language>en-US</dc:language>
</cp:coreProperties>
</file>